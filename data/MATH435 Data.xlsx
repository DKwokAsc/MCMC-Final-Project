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1fe49d7f2f334c/Documents/"/>
    </mc:Choice>
  </mc:AlternateContent>
  <xr:revisionPtr revIDLastSave="0" documentId="8_{354DF587-8534-C741-8333-6E07BF1B10B3}" xr6:coauthVersionLast="47" xr6:coauthVersionMax="47" xr10:uidLastSave="{00000000-0000-0000-0000-000000000000}"/>
  <bookViews>
    <workbookView xWindow="0" yWindow="0" windowWidth="28800" windowHeight="18000" xr2:uid="{5AEE65F6-1102-A84C-B616-FBF0AC46B8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D23" i="1"/>
  <c r="I15" i="1"/>
  <c r="G22" i="1"/>
  <c r="D22" i="1"/>
  <c r="I19" i="1"/>
  <c r="I22" i="1"/>
  <c r="K13" i="1"/>
  <c r="K10" i="1"/>
  <c r="G19" i="1"/>
  <c r="D19" i="1"/>
  <c r="A19" i="1"/>
  <c r="C15" i="1"/>
  <c r="D15" i="1"/>
  <c r="E15" i="1"/>
  <c r="F15" i="1"/>
  <c r="G15" i="1"/>
  <c r="H15" i="1"/>
  <c r="J15" i="1"/>
  <c r="B15" i="1"/>
  <c r="J11" i="1"/>
  <c r="J13" i="1"/>
  <c r="J14" i="1"/>
  <c r="G14" i="1"/>
  <c r="H14" i="1"/>
  <c r="I14" i="1"/>
  <c r="F14" i="1"/>
  <c r="D14" i="1"/>
  <c r="B14" i="1"/>
  <c r="E13" i="1"/>
  <c r="C13" i="1"/>
  <c r="E14" i="1"/>
  <c r="C14" i="1"/>
  <c r="G13" i="1"/>
  <c r="H13" i="1"/>
  <c r="I13" i="1"/>
  <c r="F13" i="1"/>
  <c r="D13" i="1"/>
  <c r="B13" i="1"/>
  <c r="C12" i="1"/>
  <c r="D12" i="1"/>
  <c r="E12" i="1"/>
  <c r="F12" i="1"/>
  <c r="G12" i="1"/>
  <c r="H12" i="1"/>
  <c r="I12" i="1"/>
  <c r="B12" i="1"/>
  <c r="J10" i="1"/>
  <c r="G6" i="1"/>
  <c r="E4" i="1"/>
  <c r="E6" i="1" s="1"/>
  <c r="C6" i="1"/>
  <c r="C7" i="1"/>
  <c r="B7" i="1"/>
  <c r="F5" i="1"/>
  <c r="F7" i="1" s="1"/>
  <c r="B5" i="1"/>
  <c r="C4" i="1"/>
  <c r="D4" i="1"/>
  <c r="D5" i="1" s="1"/>
  <c r="D7" i="1" s="1"/>
  <c r="F4" i="1"/>
  <c r="G4" i="1"/>
  <c r="G5" i="1" s="1"/>
  <c r="G7" i="1" s="1"/>
  <c r="H4" i="1"/>
  <c r="H5" i="1" s="1"/>
  <c r="H7" i="1" s="1"/>
  <c r="I4" i="1"/>
  <c r="I5" i="1" s="1"/>
  <c r="I7" i="1" s="1"/>
  <c r="B4" i="1"/>
  <c r="J3" i="1"/>
  <c r="J2" i="1"/>
  <c r="K2" i="1" s="1"/>
  <c r="I6" i="1"/>
  <c r="H6" i="1"/>
  <c r="F6" i="1"/>
  <c r="E5" i="1"/>
  <c r="D6" i="1"/>
  <c r="C5" i="1"/>
  <c r="B6" i="1"/>
  <c r="J5" i="1" l="1"/>
  <c r="E7" i="1"/>
  <c r="J6" i="1"/>
  <c r="K5" i="1" s="1"/>
  <c r="J7" i="1" l="1"/>
</calcChain>
</file>

<file path=xl/sharedStrings.xml><?xml version="1.0" encoding="utf-8"?>
<sst xmlns="http://schemas.openxmlformats.org/spreadsheetml/2006/main" count="44" uniqueCount="28">
  <si>
    <t>Rep Votes</t>
  </si>
  <si>
    <t xml:space="preserve">Dem Votes </t>
  </si>
  <si>
    <t>D1</t>
  </si>
  <si>
    <t>D2</t>
  </si>
  <si>
    <t>D3</t>
  </si>
  <si>
    <t>D4</t>
  </si>
  <si>
    <t>D5</t>
  </si>
  <si>
    <t>D6</t>
  </si>
  <si>
    <t>D7</t>
  </si>
  <si>
    <t>D8</t>
  </si>
  <si>
    <t>Wasted Rep</t>
  </si>
  <si>
    <t>Wasted Dem</t>
  </si>
  <si>
    <t>Total</t>
  </si>
  <si>
    <t>Votes to win</t>
  </si>
  <si>
    <t>EG</t>
  </si>
  <si>
    <t>rep-dem votes</t>
  </si>
  <si>
    <t>wdem-wrep votes</t>
  </si>
  <si>
    <t>Politico</t>
  </si>
  <si>
    <t>NPR</t>
  </si>
  <si>
    <t>Avg effieciency gap</t>
  </si>
  <si>
    <t>Republican Votes</t>
  </si>
  <si>
    <t>Democrat votes</t>
  </si>
  <si>
    <t>Difference</t>
  </si>
  <si>
    <t>Wasted Democrat Votes</t>
  </si>
  <si>
    <t>Wasted Republican Votes</t>
  </si>
  <si>
    <t xml:space="preserve">Difference </t>
  </si>
  <si>
    <t>Democrat</t>
  </si>
  <si>
    <t>Republican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</si>
</sst>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Votes in Wisconsin in 2024 via Politico and NPR (congressional election)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Sheet1!$D$21:$I$21</c:f>
              <c:strCache>
                <c:ptCount val="6"/>
                <c:pt idx="0">
                  <c:v>Democrat votes</c:v>
                </c:pt>
                <c:pt idx="3">
                  <c:v>Republican Votes</c:v>
                </c:pt>
                <c:pt idx="5">
                  <c:v>Difference</c:v>
                </c:pt>
              </c:strCache>
            </c:strRef>
          </c:cat>
          <c:val>
            <c:numRef>
              <c:f>Sheet1!$D$22:$I$22</c:f>
              <c:numCache>
                <c:formatCode>General</c:formatCode>
                <c:ptCount val="6"/>
                <c:pt idx="0">
                  <c:v>1603691</c:v>
                </c:pt>
                <c:pt idx="3">
                  <c:v>1701718.5</c:v>
                </c:pt>
                <c:pt idx="5">
                  <c:v>98027.5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3-A04E-9D15-30C47339C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2844608"/>
        <c:axId val="1072846400"/>
      </c:barChart>
      <c:catAx>
        <c:axId val="107284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846400"/>
        <c:crosses val="autoZero"/>
        <c:auto val="1"/>
        <c:lblAlgn val="ctr"/>
        <c:lblOffset val="100"/>
        <c:noMultiLvlLbl val="0"/>
      </c:catAx>
      <c:valAx>
        <c:axId val="107284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84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Wasted</a:t>
            </a:r>
            <a:r>
              <a:rPr lang="en-US" baseline="0"/>
              <a:t> Votes in Wisconsin in 2024 via Politco and NPR (congressional election)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Sheet1!$D$18:$I$18</c:f>
              <c:strCache>
                <c:ptCount val="6"/>
                <c:pt idx="0">
                  <c:v>Wasted Democrat Votes</c:v>
                </c:pt>
                <c:pt idx="3">
                  <c:v>Wasted Republican Votes</c:v>
                </c:pt>
                <c:pt idx="5">
                  <c:v>Difference </c:v>
                </c:pt>
              </c:strCache>
            </c:strRef>
          </c:cat>
          <c:val>
            <c:numRef>
              <c:f>Sheet1!$D$19:$I$19</c:f>
              <c:numCache>
                <c:formatCode>General</c:formatCode>
                <c:ptCount val="6"/>
                <c:pt idx="0">
                  <c:v>1212940</c:v>
                </c:pt>
                <c:pt idx="3">
                  <c:v>439764.75</c:v>
                </c:pt>
                <c:pt idx="5">
                  <c:v>773175.25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48-C544-89AC-823617866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3368160"/>
        <c:axId val="633360736"/>
      </c:barChart>
      <c:catAx>
        <c:axId val="63336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360736"/>
        <c:crosses val="autoZero"/>
        <c:auto val="1"/>
        <c:lblAlgn val="ctr"/>
        <c:lblOffset val="100"/>
        <c:noMultiLvlLbl val="0"/>
      </c:catAx>
      <c:valAx>
        <c:axId val="63336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36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</a:t>
            </a:r>
            <a:r>
              <a:rPr lang="en-US" baseline="0"/>
              <a:t> of Wasted Votes in 2024 Congressional Election as a Percentage of Total Votes </a:t>
            </a:r>
            <a:endParaRPr lang="en-US"/>
          </a:p>
        </c:rich>
      </c:tx>
      <c:layout>
        <c:manualLayout>
          <c:xMode val="edge"/>
          <c:yMode val="edge"/>
          <c:x val="0.1015763342082239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Sheet1!$D$23:$D$24</c:f>
              <c:numCache>
                <c:formatCode>General</c:formatCode>
                <c:ptCount val="2"/>
                <c:pt idx="0">
                  <c:v>0.75634271190647073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8-1743-BD7B-7BC41F16A05A}"/>
            </c:ext>
          </c:extLst>
        </c:ser>
        <c:ser>
          <c:idx val="3"/>
          <c:order val="3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Sheet1!$G$23:$G$24</c:f>
              <c:numCache>
                <c:formatCode>General</c:formatCode>
                <c:ptCount val="2"/>
                <c:pt idx="0">
                  <c:v>0.25842391088772909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B8-1743-BD7B-7BC41F16A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5643312"/>
        <c:axId val="63564502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Sheet1!$E$23:$E$24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4B8-1743-BD7B-7BC41F16A05A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Sheet1!$F$23:$F$24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F4B8-1743-BD7B-7BC41F16A05A}"/>
                  </c:ext>
                </c:extLst>
              </c15:ser>
            </c15:filteredBarSeries>
          </c:ext>
        </c:extLst>
      </c:barChart>
      <c:catAx>
        <c:axId val="63564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645024"/>
        <c:crosses val="autoZero"/>
        <c:auto val="1"/>
        <c:lblAlgn val="ctr"/>
        <c:lblOffset val="100"/>
        <c:noMultiLvlLbl val="0"/>
      </c:catAx>
      <c:valAx>
        <c:axId val="63564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643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573522</xdr:colOff>
      <xdr:row>33</xdr:row>
      <xdr:rowOff>35916</xdr:rowOff>
    </xdr:from>
    <xdr:to>
      <xdr:col>6</xdr:col>
      <xdr:colOff>194949</xdr:colOff>
      <xdr:row>46</xdr:row>
      <xdr:rowOff>150135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DCE0F4-A43A-DC3E-66D2-C40C6F2F89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371293</xdr:colOff>
      <xdr:row>31</xdr:row>
      <xdr:rowOff>173432</xdr:rowOff>
    </xdr:from>
    <xdr:to>
      <xdr:col>11</xdr:col>
      <xdr:colOff>817815</xdr:colOff>
      <xdr:row>45</xdr:row>
      <xdr:rowOff>85422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3D8D68-C8BD-EACF-DB11-5CDF29D16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160975</xdr:colOff>
      <xdr:row>17</xdr:row>
      <xdr:rowOff>157254</xdr:rowOff>
    </xdr:from>
    <xdr:to>
      <xdr:col>14</xdr:col>
      <xdr:colOff>607497</xdr:colOff>
      <xdr:row>31</xdr:row>
      <xdr:rowOff>69244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D2DC42-0FCA-E6CC-D014-1F1EE403AF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0.18241</cdr:x>
      <cdr:y>0.92168</cdr:y>
    </cdr:from>
    <cdr:to>
      <cdr:x>0.40888</cdr:x>
      <cdr:y>0.97771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C67CD56-3E74-B66E-DA8F-0F1E62FA4E58}"/>
            </a:ext>
          </a:extLst>
        </cdr:cNvPr>
        <cdr:cNvSpPr txBox="1"/>
      </cdr:nvSpPr>
      <cdr:spPr>
        <a:xfrm xmlns:a="http://schemas.openxmlformats.org/drawingml/2006/main">
          <a:off x="833994" y="2528352"/>
          <a:ext cx="1035414" cy="1536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900"/>
        </a:p>
      </cdr:txBody>
    </cdr:sp>
  </cdr:relSizeAnchor>
  <cdr:relSizeAnchor xmlns:cdr="http://schemas.openxmlformats.org/drawingml/2006/chartDrawing">
    <cdr:from>
      <cdr:x>0.18241</cdr:x>
      <cdr:y>0.89809</cdr:y>
    </cdr:from>
    <cdr:to>
      <cdr:x>0.42304</cdr:x>
      <cdr:y>0.96296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C19AFB0-71DE-5AB6-24B3-D52FB1593F59}"/>
            </a:ext>
          </a:extLst>
        </cdr:cNvPr>
        <cdr:cNvSpPr txBox="1"/>
      </cdr:nvSpPr>
      <cdr:spPr>
        <a:xfrm xmlns:a="http://schemas.openxmlformats.org/drawingml/2006/main">
          <a:off x="833993" y="2463638"/>
          <a:ext cx="1100127" cy="1779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/>
            <a:t>DEM</a:t>
          </a:r>
          <a:r>
            <a:rPr lang="en-US" sz="900" baseline="0"/>
            <a:t>                    REP</a:t>
          </a:r>
          <a:endParaRPr lang="en-US" sz="9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0A788-048D-7041-9307-F1D1B0C5E4EF}">
  <dimension ref="A1:K24"/>
  <sheetViews>
    <sheetView tabSelected="1" zoomScale="157" workbookViewId="0">
      <selection activeCell="E30" sqref="E30"/>
    </sheetView>
  </sheetViews>
  <sheetFormatPr baseColWidth="10" defaultRowHeight="16" x14ac:dyDescent="0.2"/>
  <sheetData>
    <row r="1" spans="1:11" x14ac:dyDescent="0.2">
      <c r="A1" t="s">
        <v>17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12</v>
      </c>
      <c r="K1" t="s">
        <v>15</v>
      </c>
    </row>
    <row r="2" spans="1:11" x14ac:dyDescent="0.2">
      <c r="A2" t="s">
        <v>0</v>
      </c>
      <c r="B2">
        <v>212483</v>
      </c>
      <c r="C2" s="1">
        <v>136349</v>
      </c>
      <c r="D2">
        <v>211697</v>
      </c>
      <c r="E2">
        <v>74920</v>
      </c>
      <c r="F2">
        <v>300512</v>
      </c>
      <c r="G2">
        <v>251791</v>
      </c>
      <c r="H2">
        <v>273611</v>
      </c>
      <c r="I2">
        <v>240214</v>
      </c>
      <c r="J2" s="1">
        <f>B2+C2+D2+E2+F2+G2+H2+I2</f>
        <v>1701577</v>
      </c>
      <c r="K2" s="1">
        <f>J2-J3</f>
        <v>97615</v>
      </c>
    </row>
    <row r="3" spans="1:11" x14ac:dyDescent="0.2">
      <c r="A3" t="s">
        <v>1</v>
      </c>
      <c r="B3">
        <v>172371</v>
      </c>
      <c r="C3">
        <v>320283</v>
      </c>
      <c r="D3">
        <v>200557</v>
      </c>
      <c r="E3">
        <v>249919</v>
      </c>
      <c r="F3">
        <v>165638</v>
      </c>
      <c r="G3">
        <v>160001</v>
      </c>
      <c r="H3">
        <v>156572</v>
      </c>
      <c r="I3">
        <v>178621</v>
      </c>
      <c r="J3">
        <f>B3+C3+D3+E3+F3+G3+H3+I3</f>
        <v>1603962</v>
      </c>
    </row>
    <row r="4" spans="1:11" x14ac:dyDescent="0.2">
      <c r="A4" t="s">
        <v>13</v>
      </c>
      <c r="B4">
        <f>(B2+B3)/2</f>
        <v>192427</v>
      </c>
      <c r="C4">
        <f t="shared" ref="C4:I4" si="0">(C2+C3)/2</f>
        <v>228316</v>
      </c>
      <c r="D4">
        <f t="shared" si="0"/>
        <v>206127</v>
      </c>
      <c r="E4">
        <f>(E2+E3)/2</f>
        <v>162419.5</v>
      </c>
      <c r="F4">
        <f t="shared" si="0"/>
        <v>233075</v>
      </c>
      <c r="G4">
        <f t="shared" si="0"/>
        <v>205896</v>
      </c>
      <c r="H4">
        <f t="shared" si="0"/>
        <v>215091.5</v>
      </c>
      <c r="I4">
        <f t="shared" si="0"/>
        <v>209417.5</v>
      </c>
      <c r="K4" t="s">
        <v>16</v>
      </c>
    </row>
    <row r="5" spans="1:11" x14ac:dyDescent="0.2">
      <c r="A5" t="s">
        <v>10</v>
      </c>
      <c r="B5">
        <f>B2-B4</f>
        <v>20056</v>
      </c>
      <c r="C5" s="1">
        <f>C2</f>
        <v>136349</v>
      </c>
      <c r="D5">
        <f>D2-D4</f>
        <v>5570</v>
      </c>
      <c r="E5">
        <f>E2</f>
        <v>74920</v>
      </c>
      <c r="F5">
        <f>F2-F4</f>
        <v>67437</v>
      </c>
      <c r="G5">
        <f t="shared" ref="G5:I5" si="1">G2-G4</f>
        <v>45895</v>
      </c>
      <c r="H5">
        <f t="shared" si="1"/>
        <v>58519.5</v>
      </c>
      <c r="I5">
        <f t="shared" si="1"/>
        <v>30796.5</v>
      </c>
      <c r="J5">
        <f t="shared" ref="J5:J6" si="2">B5+C5+D5+E5+F5+G5+H5+I5</f>
        <v>439543</v>
      </c>
      <c r="K5">
        <f>J6-J5</f>
        <v>773683.5</v>
      </c>
    </row>
    <row r="6" spans="1:11" x14ac:dyDescent="0.2">
      <c r="A6" t="s">
        <v>11</v>
      </c>
      <c r="B6">
        <f>B3</f>
        <v>172371</v>
      </c>
      <c r="C6">
        <f>C3-C4</f>
        <v>91967</v>
      </c>
      <c r="D6">
        <f>D3</f>
        <v>200557</v>
      </c>
      <c r="E6">
        <f>E3-E4</f>
        <v>87499.5</v>
      </c>
      <c r="F6">
        <f>F3</f>
        <v>165638</v>
      </c>
      <c r="G6">
        <f>G3</f>
        <v>160001</v>
      </c>
      <c r="H6">
        <f>H3</f>
        <v>156572</v>
      </c>
      <c r="I6">
        <f>I3</f>
        <v>178621</v>
      </c>
      <c r="J6">
        <f t="shared" si="2"/>
        <v>1213226.5</v>
      </c>
    </row>
    <row r="7" spans="1:11" x14ac:dyDescent="0.2">
      <c r="A7" t="s">
        <v>14</v>
      </c>
      <c r="B7">
        <f>(B5-B6)/(B2+B3)</f>
        <v>-0.39577346214408582</v>
      </c>
      <c r="C7">
        <f t="shared" ref="C7:I7" si="3">(C5-C6)/(C2+C3)</f>
        <v>9.7194239562711324E-2</v>
      </c>
      <c r="D7">
        <f t="shared" si="3"/>
        <v>-0.47297782435100688</v>
      </c>
      <c r="E7">
        <f t="shared" si="3"/>
        <v>-3.872533778271698E-2</v>
      </c>
      <c r="F7">
        <f t="shared" si="3"/>
        <v>-0.21066394937251959</v>
      </c>
      <c r="G7">
        <f t="shared" si="3"/>
        <v>-0.27709620390876949</v>
      </c>
      <c r="H7">
        <f t="shared" si="3"/>
        <v>-0.22793206612069747</v>
      </c>
      <c r="I7">
        <f t="shared" si="3"/>
        <v>-0.3529420893669345</v>
      </c>
      <c r="J7">
        <f>(J5-J6)/(J2+J3)</f>
        <v>-0.23405668485532918</v>
      </c>
    </row>
    <row r="9" spans="1:11" x14ac:dyDescent="0.2">
      <c r="A9" t="s">
        <v>18</v>
      </c>
      <c r="B9" t="s">
        <v>2</v>
      </c>
      <c r="C9" t="s">
        <v>3</v>
      </c>
      <c r="D9" t="s">
        <v>4</v>
      </c>
      <c r="E9" t="s">
        <v>5</v>
      </c>
      <c r="F9" t="s">
        <v>6</v>
      </c>
      <c r="G9" t="s">
        <v>7</v>
      </c>
      <c r="H9" t="s">
        <v>8</v>
      </c>
      <c r="I9" t="s">
        <v>9</v>
      </c>
      <c r="J9" t="s">
        <v>12</v>
      </c>
      <c r="K9" t="s">
        <v>15</v>
      </c>
    </row>
    <row r="10" spans="1:11" x14ac:dyDescent="0.2">
      <c r="A10" t="s">
        <v>0</v>
      </c>
      <c r="B10">
        <v>212515</v>
      </c>
      <c r="C10">
        <v>136357</v>
      </c>
      <c r="D10">
        <v>212064</v>
      </c>
      <c r="E10">
        <v>74921</v>
      </c>
      <c r="F10">
        <v>300521</v>
      </c>
      <c r="G10">
        <v>251889</v>
      </c>
      <c r="H10">
        <v>273553</v>
      </c>
      <c r="I10">
        <v>240040</v>
      </c>
      <c r="J10">
        <f>SUM(B10:I10)</f>
        <v>1701860</v>
      </c>
      <c r="K10">
        <f>J10-J11</f>
        <v>98440</v>
      </c>
    </row>
    <row r="11" spans="1:11" x14ac:dyDescent="0.2">
      <c r="A11" t="s">
        <v>1</v>
      </c>
      <c r="B11">
        <v>172402</v>
      </c>
      <c r="C11">
        <v>320317</v>
      </c>
      <c r="D11">
        <v>200878</v>
      </c>
      <c r="E11">
        <v>249938</v>
      </c>
      <c r="F11">
        <v>165653</v>
      </c>
      <c r="G11">
        <v>159042</v>
      </c>
      <c r="H11">
        <v>156524</v>
      </c>
      <c r="I11">
        <v>178666</v>
      </c>
      <c r="J11">
        <f t="shared" ref="J11:J14" si="4">SUM(B11:I11)</f>
        <v>1603420</v>
      </c>
    </row>
    <row r="12" spans="1:11" x14ac:dyDescent="0.2">
      <c r="A12" t="s">
        <v>13</v>
      </c>
      <c r="B12">
        <f>(B10+B11)/2</f>
        <v>192458.5</v>
      </c>
      <c r="C12">
        <f t="shared" ref="C12:I12" si="5">(C10+C11)/2</f>
        <v>228337</v>
      </c>
      <c r="D12">
        <f t="shared" si="5"/>
        <v>206471</v>
      </c>
      <c r="E12">
        <f t="shared" si="5"/>
        <v>162429.5</v>
      </c>
      <c r="F12">
        <f t="shared" si="5"/>
        <v>233087</v>
      </c>
      <c r="G12">
        <f t="shared" si="5"/>
        <v>205465.5</v>
      </c>
      <c r="H12">
        <f t="shared" si="5"/>
        <v>215038.5</v>
      </c>
      <c r="I12">
        <f t="shared" si="5"/>
        <v>209353</v>
      </c>
      <c r="K12" t="s">
        <v>16</v>
      </c>
    </row>
    <row r="13" spans="1:11" x14ac:dyDescent="0.2">
      <c r="A13" t="s">
        <v>11</v>
      </c>
      <c r="B13">
        <f>B11</f>
        <v>172402</v>
      </c>
      <c r="C13">
        <f>C11-C12</f>
        <v>91980</v>
      </c>
      <c r="D13">
        <f>D11</f>
        <v>200878</v>
      </c>
      <c r="E13">
        <f>E11-E12</f>
        <v>87508.5</v>
      </c>
      <c r="F13">
        <f>F11</f>
        <v>165653</v>
      </c>
      <c r="G13">
        <f t="shared" ref="G13:I13" si="6">G11</f>
        <v>159042</v>
      </c>
      <c r="H13">
        <f t="shared" si="6"/>
        <v>156524</v>
      </c>
      <c r="I13">
        <f t="shared" si="6"/>
        <v>178666</v>
      </c>
      <c r="J13">
        <f t="shared" si="4"/>
        <v>1212653.5</v>
      </c>
      <c r="K13">
        <f>J13-J14</f>
        <v>772667</v>
      </c>
    </row>
    <row r="14" spans="1:11" x14ac:dyDescent="0.2">
      <c r="A14" t="s">
        <v>10</v>
      </c>
      <c r="B14">
        <f>B10-B12</f>
        <v>20056.5</v>
      </c>
      <c r="C14">
        <f>C10</f>
        <v>136357</v>
      </c>
      <c r="D14">
        <f>D10-D12</f>
        <v>5593</v>
      </c>
      <c r="E14">
        <f>E10</f>
        <v>74921</v>
      </c>
      <c r="F14">
        <f>F10-F12</f>
        <v>67434</v>
      </c>
      <c r="G14">
        <f t="shared" ref="G14:I14" si="7">G10-G12</f>
        <v>46423.5</v>
      </c>
      <c r="H14">
        <f t="shared" si="7"/>
        <v>58514.5</v>
      </c>
      <c r="I14">
        <f t="shared" si="7"/>
        <v>30687</v>
      </c>
      <c r="J14">
        <f t="shared" si="4"/>
        <v>439986.5</v>
      </c>
    </row>
    <row r="15" spans="1:11" x14ac:dyDescent="0.2">
      <c r="B15">
        <f>(B14-B13)/(B10+B11)</f>
        <v>-0.3957879231106966</v>
      </c>
      <c r="C15">
        <f t="shared" ref="C15:J15" si="8">(C14-C13)/(C10+C11)</f>
        <v>9.71743519447133E-2</v>
      </c>
      <c r="D15">
        <f t="shared" si="8"/>
        <v>-0.47291145003414525</v>
      </c>
      <c r="E15">
        <f t="shared" si="8"/>
        <v>-3.8747579719201251E-2</v>
      </c>
      <c r="F15">
        <f t="shared" si="8"/>
        <v>-0.21069171596871555</v>
      </c>
      <c r="G15">
        <f t="shared" si="8"/>
        <v>-0.27405695846747996</v>
      </c>
      <c r="H15">
        <f t="shared" si="8"/>
        <v>-0.22788826186938618</v>
      </c>
      <c r="I15">
        <f>(I14-I13)/(I10+I11)</f>
        <v>-0.35341982202309019</v>
      </c>
      <c r="J15">
        <f t="shared" si="8"/>
        <v>-0.23376748717203988</v>
      </c>
    </row>
    <row r="18" spans="1:9" x14ac:dyDescent="0.2">
      <c r="A18" t="s">
        <v>19</v>
      </c>
      <c r="D18" t="s">
        <v>23</v>
      </c>
      <c r="G18" t="s">
        <v>24</v>
      </c>
      <c r="I18" t="s">
        <v>25</v>
      </c>
    </row>
    <row r="19" spans="1:9" x14ac:dyDescent="0.2">
      <c r="A19">
        <f>(J15+J7)/2</f>
        <v>-0.23391208601368452</v>
      </c>
      <c r="D19">
        <f>(J6+J13)/2</f>
        <v>1212940</v>
      </c>
      <c r="G19">
        <f>(J5+J14)/2</f>
        <v>439764.75</v>
      </c>
      <c r="I19">
        <f>(K13+K5)/2</f>
        <v>773175.25</v>
      </c>
    </row>
    <row r="21" spans="1:9" x14ac:dyDescent="0.2">
      <c r="D21" t="s">
        <v>21</v>
      </c>
      <c r="G21" t="s">
        <v>20</v>
      </c>
      <c r="I21" t="s">
        <v>22</v>
      </c>
    </row>
    <row r="22" spans="1:9" x14ac:dyDescent="0.2">
      <c r="D22">
        <f>(J3+J11)/2</f>
        <v>1603691</v>
      </c>
      <c r="G22">
        <f>(J2+J10)/2</f>
        <v>1701718.5</v>
      </c>
      <c r="I22">
        <f>(K10+K2)/2</f>
        <v>98027.5</v>
      </c>
    </row>
    <row r="23" spans="1:9" x14ac:dyDescent="0.2">
      <c r="D23">
        <f>D19/D22</f>
        <v>0.75634271190647073</v>
      </c>
      <c r="G23">
        <f>G19/G22</f>
        <v>0.25842391088772909</v>
      </c>
    </row>
    <row r="24" spans="1:9" x14ac:dyDescent="0.2">
      <c r="D24" t="s">
        <v>26</v>
      </c>
      <c r="G24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Smyth</dc:creator>
  <cp:lastModifiedBy>Danny Smyth</cp:lastModifiedBy>
  <dcterms:created xsi:type="dcterms:W3CDTF">2025-10-01T20:48:28Z</dcterms:created>
  <dcterms:modified xsi:type="dcterms:W3CDTF">2025-12-17T00:09:41Z</dcterms:modified>
</cp:coreProperties>
</file>